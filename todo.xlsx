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Mini-Projet-Web-design-_Guerre-Iran\"/>
    </mc:Choice>
  </mc:AlternateContent>
  <xr:revisionPtr revIDLastSave="0" documentId="13_ncr:1_{D3A5BCD3-6208-496F-BFD6-4AD3ED646813}" xr6:coauthVersionLast="47" xr6:coauthVersionMax="47" xr10:uidLastSave="{00000000-0000-0000-0000-000000000000}"/>
  <bookViews>
    <workbookView xWindow="-120" yWindow="-120" windowWidth="20730" windowHeight="11760" activeTab="3" xr2:uid="{B2A418DC-2342-433D-BCEE-FBC531726AC5}"/>
  </bookViews>
  <sheets>
    <sheet name="Groupe" sheetId="1" r:id="rId1"/>
    <sheet name="liste des tâches" sheetId="2" r:id="rId2"/>
    <sheet name="Recap" sheetId="5" r:id="rId3"/>
    <sheet name="Avancement" sheetId="4" r:id="rId4"/>
  </sheets>
  <calcPr calcId="191029"/>
  <pivotCaches>
    <pivotCache cacheId="3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6" i="2" l="1"/>
  <c r="B11" i="5"/>
  <c r="B2" i="4"/>
  <c r="A2" i="4"/>
  <c r="C2" i="4" s="1"/>
  <c r="E2" i="4" s="1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6" i="2"/>
  <c r="I6" i="2"/>
  <c r="J5" i="2"/>
  <c r="I5" i="2"/>
  <c r="I3" i="2"/>
  <c r="I4" i="2"/>
  <c r="I2" i="2"/>
  <c r="J3" i="2"/>
  <c r="J4" i="2"/>
  <c r="J7" i="2"/>
  <c r="J8" i="2"/>
  <c r="J2" i="2"/>
  <c r="D2" i="4" l="1"/>
  <c r="I14" i="2"/>
  <c r="I18" i="2"/>
  <c r="I19" i="2"/>
  <c r="I8" i="2"/>
  <c r="I15" i="2"/>
  <c r="I23" i="2"/>
  <c r="I27" i="2"/>
  <c r="I10" i="2"/>
  <c r="I16" i="2"/>
  <c r="I9" i="2"/>
  <c r="I11" i="2"/>
  <c r="I30" i="2"/>
  <c r="I20" i="2"/>
  <c r="I31" i="2"/>
  <c r="I21" i="2"/>
  <c r="I7" i="2"/>
  <c r="I12" i="2"/>
  <c r="I26" i="2"/>
  <c r="I25" i="2"/>
  <c r="I24" i="2"/>
  <c r="I13" i="2"/>
  <c r="I17" i="2"/>
  <c r="I28" i="2"/>
  <c r="I22" i="2"/>
  <c r="I29" i="2"/>
</calcChain>
</file>

<file path=xl/sharedStrings.xml><?xml version="1.0" encoding="utf-8"?>
<sst xmlns="http://schemas.openxmlformats.org/spreadsheetml/2006/main" count="200" uniqueCount="66">
  <si>
    <t>ETU003265</t>
  </si>
  <si>
    <t>BAKOMALALA Fenitra Nomena Sarobidy</t>
  </si>
  <si>
    <t>ETU003324</t>
  </si>
  <si>
    <t>RAMANANKORAISINA Harenkanto Mitia</t>
  </si>
  <si>
    <t>Page</t>
  </si>
  <si>
    <t>type</t>
  </si>
  <si>
    <t>Qui</t>
  </si>
  <si>
    <t>Estimation</t>
  </si>
  <si>
    <t>Reste a faire</t>
  </si>
  <si>
    <t>Avancement</t>
  </si>
  <si>
    <t xml:space="preserve">Catégorie </t>
  </si>
  <si>
    <t>Description de tâche</t>
  </si>
  <si>
    <t>BackOffice</t>
  </si>
  <si>
    <t>Database</t>
  </si>
  <si>
    <t>base.sql</t>
  </si>
  <si>
    <t xml:space="preserve">creation des tables </t>
  </si>
  <si>
    <t>metier</t>
  </si>
  <si>
    <t>Temps passé</t>
  </si>
  <si>
    <t>Infrastrucure</t>
  </si>
  <si>
    <t>docker-compose.yml</t>
  </si>
  <si>
    <t>integration</t>
  </si>
  <si>
    <t>login</t>
  </si>
  <si>
    <t>Système de connexion avec user/pass par défaut</t>
  </si>
  <si>
    <t>affichage</t>
  </si>
  <si>
    <t>TinyMCE</t>
  </si>
  <si>
    <t xml:space="preserve">Intégration d'un éditeur type "TinyMCE" pour le contenu </t>
  </si>
  <si>
    <t>Mise en place de l'environnement PHP/MySQL/TineMCE en conteneurs</t>
  </si>
  <si>
    <t>Formulaire d'ajout d'article (Titre, Contenu, Slug, Date)</t>
  </si>
  <si>
    <t>ajout_article</t>
  </si>
  <si>
    <t>modif_article</t>
  </si>
  <si>
    <t>Gestion de la modification des articles</t>
  </si>
  <si>
    <t>medias</t>
  </si>
  <si>
    <t>Système d'upload d'images et liaison avec media_article</t>
  </si>
  <si>
    <t>categorie</t>
  </si>
  <si>
    <t>CRUD pour les catégories d'actualités</t>
  </si>
  <si>
    <t>FrontOffice</t>
  </si>
  <si>
    <t>liste_article</t>
  </si>
  <si>
    <t xml:space="preserve">Affichage de la liste des derniers articles </t>
  </si>
  <si>
    <t>liste_categorie</t>
  </si>
  <si>
    <t>Affichage de la liste des categorie</t>
  </si>
  <si>
    <t>filtrage_article</t>
  </si>
  <si>
    <t>Filtrer les articles par date,categorie, mot cle</t>
  </si>
  <si>
    <t>singlePage</t>
  </si>
  <si>
    <t>Affichage d'un article complet via son Slug</t>
  </si>
  <si>
    <t>.htaccess</t>
  </si>
  <si>
    <t xml:space="preserve">Mise en place du .htaccess pour des URLs normalisées </t>
  </si>
  <si>
    <t xml:space="preserve">Dynamisation des titres h1-h6 et balises meta description </t>
  </si>
  <si>
    <t>Balises Meta</t>
  </si>
  <si>
    <t>Qualite</t>
  </si>
  <si>
    <t>Lighthouse</t>
  </si>
  <si>
    <t>Audit de performance et accessibilité (Mobile/Desktop)</t>
  </si>
  <si>
    <t>Livraison</t>
  </si>
  <si>
    <t>documentation</t>
  </si>
  <si>
    <t xml:space="preserve">Rédaction du document technique et modélisation </t>
  </si>
  <si>
    <t>Étiquettes de lignes</t>
  </si>
  <si>
    <t>Total général</t>
  </si>
  <si>
    <t>Somme de Estimation</t>
  </si>
  <si>
    <t>Somme de Temps passé</t>
  </si>
  <si>
    <t>Somme de Reste a faire</t>
  </si>
  <si>
    <t>estimation total</t>
  </si>
  <si>
    <t>temps passé total</t>
  </si>
  <si>
    <t>reste à faire total</t>
  </si>
  <si>
    <t>avancement</t>
  </si>
  <si>
    <t>dépassement</t>
  </si>
  <si>
    <t>Optimisation</t>
  </si>
  <si>
    <t>Optimiser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</si>
</sst>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9" fontId="0" fillId="0" borderId="0" xfId="1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nitra Sarobidy" refreshedDate="46111.716730092594" createdVersion="7" refreshedVersion="7" minRefreshableVersion="3" recordCount="34" xr:uid="{9AA0CDDA-C61F-455A-B7AE-7E570BECB3CE}">
  <cacheSource type="worksheet">
    <worksheetSource ref="B1:J35" sheet="liste des tâches"/>
  </cacheSource>
  <cacheFields count="9">
    <cacheField name="Catégorie " numFmtId="0">
      <sharedItems/>
    </cacheField>
    <cacheField name="Page" numFmtId="0">
      <sharedItems/>
    </cacheField>
    <cacheField name="Description de tâche" numFmtId="0">
      <sharedItems/>
    </cacheField>
    <cacheField name="type" numFmtId="0">
      <sharedItems/>
    </cacheField>
    <cacheField name="Qui" numFmtId="0">
      <sharedItems containsBlank="1" count="3">
        <s v="ETU003265"/>
        <s v="ETU003324"/>
        <m u="1"/>
      </sharedItems>
    </cacheField>
    <cacheField name="Estimation" numFmtId="0">
      <sharedItems containsSemiMixedTypes="0" containsString="0" containsNumber="1" containsInteger="1" minValue="10" maxValue="90"/>
    </cacheField>
    <cacheField name="Temps passé" numFmtId="0">
      <sharedItems containsString="0" containsBlank="1" containsNumber="1" containsInteger="1" minValue="0" maxValue="90"/>
    </cacheField>
    <cacheField name="Reste a faire" numFmtId="0">
      <sharedItems containsString="0" containsBlank="1" containsNumber="1" containsInteger="1" minValue="0" maxValue="15"/>
    </cacheField>
    <cacheField name="Avancement" numFmtId="9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Database"/>
    <s v="base.sql"/>
    <s v="creation des tables "/>
    <s v="metier"/>
    <x v="0"/>
    <n v="45"/>
    <n v="45"/>
    <n v="0"/>
    <n v="1"/>
  </r>
  <r>
    <s v="Infrastrucure"/>
    <s v="docker-compose.yml"/>
    <s v="Mise en place de l'environnement PHP/MySQL/TineMCE en conteneurs"/>
    <s v="integration"/>
    <x v="1"/>
    <n v="60"/>
    <n v="60"/>
    <n v="0"/>
    <n v="1"/>
  </r>
  <r>
    <s v="BackOffice"/>
    <s v="login"/>
    <s v="Système de connexion avec user/pass par défaut"/>
    <s v="affichage"/>
    <x v="0"/>
    <n v="15"/>
    <n v="0"/>
    <n v="15"/>
    <n v="0"/>
  </r>
  <r>
    <s v="BackOffice"/>
    <s v="login"/>
    <s v="Système de connexion avec user/pass par défaut"/>
    <s v="metier"/>
    <x v="0"/>
    <n v="15"/>
    <n v="0"/>
    <n v="15"/>
    <n v="0"/>
  </r>
  <r>
    <s v="BackOffice"/>
    <s v="login"/>
    <s v="Système de connexion avec user/pass par défaut"/>
    <s v="integration"/>
    <x v="0"/>
    <n v="10"/>
    <n v="0"/>
    <n v="10"/>
    <n v="0"/>
  </r>
  <r>
    <s v="BackOffice"/>
    <s v="TinyMCE"/>
    <s v="Intégration d'un éditeur type &quot;TinyMCE&quot; pour le contenu "/>
    <s v="metier"/>
    <x v="1"/>
    <n v="90"/>
    <n v="90"/>
    <n v="0"/>
    <n v="1"/>
  </r>
  <r>
    <s v="BackOffice"/>
    <s v="ajout_article"/>
    <s v="Formulaire d'ajout d'article (Titre, Contenu, Slug, Date)"/>
    <s v="affichage"/>
    <x v="0"/>
    <n v="15"/>
    <m/>
    <n v="0"/>
    <n v="0"/>
  </r>
  <r>
    <s v="BackOffice"/>
    <s v="ajout_article"/>
    <s v="Formulaire d'ajout d'article (Titre, Contenu, Slug, Date)"/>
    <s v="metier"/>
    <x v="0"/>
    <n v="15"/>
    <m/>
    <n v="0"/>
    <n v="0"/>
  </r>
  <r>
    <s v="BackOffice"/>
    <s v="ajout_article"/>
    <s v="Formulaire d'ajout d'article (Titre, Contenu, Slug, Date)"/>
    <s v="integration"/>
    <x v="0"/>
    <n v="20"/>
    <m/>
    <n v="0"/>
    <n v="0"/>
  </r>
  <r>
    <s v="BackOffice"/>
    <s v="modif_article"/>
    <s v="Gestion de la modification des articles"/>
    <s v="affichage"/>
    <x v="0"/>
    <n v="15"/>
    <m/>
    <n v="0"/>
    <n v="0"/>
  </r>
  <r>
    <s v="BackOffice"/>
    <s v="modif_article"/>
    <s v="Gestion de la modification des articles"/>
    <s v="metier"/>
    <x v="0"/>
    <n v="15"/>
    <m/>
    <n v="0"/>
    <n v="0"/>
  </r>
  <r>
    <s v="BackOffice"/>
    <s v="modif_article"/>
    <s v="Gestion de la modification des articles"/>
    <s v="integration"/>
    <x v="0"/>
    <n v="20"/>
    <m/>
    <n v="0"/>
    <n v="0"/>
  </r>
  <r>
    <s v="BackOffice"/>
    <s v="medias"/>
    <s v="Système d'upload d'images et liaison avec media_article"/>
    <s v="affichage"/>
    <x v="0"/>
    <n v="15"/>
    <m/>
    <n v="0"/>
    <n v="0"/>
  </r>
  <r>
    <s v="BackOffice"/>
    <s v="medias"/>
    <s v="Système d'upload d'images et liaison avec media_article"/>
    <s v="metier"/>
    <x v="0"/>
    <n v="20"/>
    <m/>
    <n v="0"/>
    <n v="0"/>
  </r>
  <r>
    <s v="BackOffice"/>
    <s v="medias"/>
    <s v="Système d'upload d'images et liaison avec media_article"/>
    <s v="integration"/>
    <x v="0"/>
    <n v="20"/>
    <m/>
    <n v="0"/>
    <n v="0"/>
  </r>
  <r>
    <s v="BackOffice"/>
    <s v="categorie"/>
    <s v="CRUD pour les catégories d'actualités"/>
    <s v="affichage"/>
    <x v="1"/>
    <n v="15"/>
    <m/>
    <n v="0"/>
    <n v="0"/>
  </r>
  <r>
    <s v="BackOffice"/>
    <s v="categorie"/>
    <s v="CRUD pour les catégories d'actualités"/>
    <s v="metier"/>
    <x v="1"/>
    <n v="20"/>
    <m/>
    <n v="0"/>
    <n v="0"/>
  </r>
  <r>
    <s v="BackOffice"/>
    <s v="categorie"/>
    <s v="CRUD pour les catégories d'actualités"/>
    <s v="integration"/>
    <x v="1"/>
    <n v="20"/>
    <m/>
    <n v="0"/>
    <n v="0"/>
  </r>
  <r>
    <s v="FrontOffice"/>
    <s v="liste_article"/>
    <s v="Affichage de la liste des derniers articles "/>
    <s v="affichage"/>
    <x v="1"/>
    <n v="15"/>
    <m/>
    <n v="0"/>
    <n v="0"/>
  </r>
  <r>
    <s v="FrontOffice"/>
    <s v="liste_article"/>
    <s v="Affichage de la liste des derniers articles "/>
    <s v="metier"/>
    <x v="0"/>
    <n v="20"/>
    <m/>
    <n v="0"/>
    <n v="0"/>
  </r>
  <r>
    <s v="FrontOffice"/>
    <s v="liste_article"/>
    <s v="Affichage de la liste des derniers articles "/>
    <s v="integration"/>
    <x v="1"/>
    <n v="20"/>
    <m/>
    <n v="0"/>
    <n v="0"/>
  </r>
  <r>
    <s v="FrontOffice"/>
    <s v="liste_categorie"/>
    <s v="Affichage de la liste des categorie"/>
    <s v="affichage"/>
    <x v="1"/>
    <n v="10"/>
    <m/>
    <n v="0"/>
    <n v="0"/>
  </r>
  <r>
    <s v="FrontOffice"/>
    <s v="liste_categorie"/>
    <s v="Affichage de la liste des categorie"/>
    <s v="metier"/>
    <x v="1"/>
    <n v="10"/>
    <m/>
    <n v="0"/>
    <n v="0"/>
  </r>
  <r>
    <s v="FrontOffice"/>
    <s v="liste_categorie"/>
    <s v="Affichage de la liste des categorie"/>
    <s v="integration"/>
    <x v="1"/>
    <n v="10"/>
    <m/>
    <n v="0"/>
    <n v="0"/>
  </r>
  <r>
    <s v="FrontOffice"/>
    <s v="filtrage_article"/>
    <s v="Filtrer les articles par date,categorie, mot cle"/>
    <s v="affichage"/>
    <x v="0"/>
    <n v="20"/>
    <m/>
    <n v="0"/>
    <n v="0"/>
  </r>
  <r>
    <s v="FrontOffice"/>
    <s v="filtrage_article"/>
    <s v="Filtrer les articles par date,categorie, mot cle"/>
    <s v="metier"/>
    <x v="0"/>
    <n v="20"/>
    <m/>
    <n v="0"/>
    <n v="0"/>
  </r>
  <r>
    <s v="FrontOffice"/>
    <s v="filtrage_article"/>
    <s v="Filtrer les articles par date,categorie, mot cle"/>
    <s v="integration"/>
    <x v="0"/>
    <n v="20"/>
    <m/>
    <n v="0"/>
    <n v="0"/>
  </r>
  <r>
    <s v="FrontOffice"/>
    <s v="singlePage"/>
    <s v="Affichage d'un article complet via son Slug"/>
    <s v="affichage"/>
    <x v="0"/>
    <n v="20"/>
    <m/>
    <n v="0"/>
    <n v="0"/>
  </r>
  <r>
    <s v="FrontOffice"/>
    <s v="singlePage"/>
    <s v="Affichage d'un article complet via son Slug"/>
    <s v="metier"/>
    <x v="0"/>
    <n v="20"/>
    <m/>
    <n v="0"/>
    <n v="0"/>
  </r>
  <r>
    <s v="FrontOffice"/>
    <s v="singlePage"/>
    <s v="Affichage d'un article complet via son Slug"/>
    <s v="integration"/>
    <x v="0"/>
    <n v="20"/>
    <m/>
    <n v="0"/>
    <n v="0"/>
  </r>
  <r>
    <s v="FrontOffice"/>
    <s v=".htaccess"/>
    <s v="Mise en place du .htaccess pour des URLs normalisées "/>
    <s v="integration"/>
    <x v="0"/>
    <n v="45"/>
    <m/>
    <m/>
    <n v="0"/>
  </r>
  <r>
    <s v="FrontOffice"/>
    <s v="Balises Meta"/>
    <s v="Dynamisation des titres h1-h6 et balises meta description "/>
    <s v="metier"/>
    <x v="1"/>
    <n v="40"/>
    <m/>
    <m/>
    <n v="0"/>
  </r>
  <r>
    <s v="Qualite"/>
    <s v="Lighthouse"/>
    <s v="Audit de performance et accessibilité (Mobile/Desktop)"/>
    <s v="integration"/>
    <x v="1"/>
    <n v="40"/>
    <m/>
    <m/>
    <n v="0"/>
  </r>
  <r>
    <s v="Livraison"/>
    <s v="documentation"/>
    <s v="Rédaction du document technique et modélisation "/>
    <s v="metier"/>
    <x v="1"/>
    <n v="60"/>
    <m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EB530A-4A95-4012-A070-05CBFF33EFAF}" name="Tableau croisé dynamique1" cacheId="38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D6" firstHeaderRow="0" firstDataRow="1" firstDataCol="1"/>
  <pivotFields count="9">
    <pivotField showAll="0"/>
    <pivotField showAll="0"/>
    <pivotField showAll="0"/>
    <pivotField showAll="0"/>
    <pivotField axis="axisRow" showAll="0">
      <items count="4">
        <item x="0"/>
        <item x="1"/>
        <item m="1" x="2"/>
        <item t="default"/>
      </items>
    </pivotField>
    <pivotField dataField="1" showAll="0"/>
    <pivotField dataField="1" showAll="0"/>
    <pivotField dataField="1" showAll="0"/>
    <pivotField numFmtId="9"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Estimation" fld="5" baseField="0" baseItem="0"/>
    <dataField name="Somme de Temps passé" fld="6" baseField="0" baseItem="0"/>
    <dataField name="Somme de Reste a fair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1ECC3-E9D8-4BBB-812E-2BD4D88FB5BF}">
  <dimension ref="A1:B2"/>
  <sheetViews>
    <sheetView workbookViewId="0">
      <selection activeCell="B2" sqref="B2"/>
    </sheetView>
  </sheetViews>
  <sheetFormatPr baseColWidth="10" defaultRowHeight="15" x14ac:dyDescent="0.25"/>
  <sheetData>
    <row r="1" spans="1:2" x14ac:dyDescent="0.25">
      <c r="A1" t="s">
        <v>0</v>
      </c>
      <c r="B1" s="1" t="s">
        <v>1</v>
      </c>
    </row>
    <row r="2" spans="1:2" x14ac:dyDescent="0.25">
      <c r="A2" s="2" t="s">
        <v>2</v>
      </c>
      <c r="B2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53A55-0B8F-4B82-A5C5-1CAEA6131689}">
  <dimension ref="A1:J36"/>
  <sheetViews>
    <sheetView workbookViewId="0">
      <selection activeCell="F4" sqref="F4"/>
    </sheetView>
  </sheetViews>
  <sheetFormatPr baseColWidth="10" defaultRowHeight="15" x14ac:dyDescent="0.25"/>
  <cols>
    <col min="3" max="3" width="21.42578125" customWidth="1"/>
    <col min="4" max="4" width="54.140625" customWidth="1"/>
    <col min="8" max="8" width="15.85546875" customWidth="1"/>
    <col min="9" max="9" width="12.7109375" customWidth="1"/>
  </cols>
  <sheetData>
    <row r="1" spans="1:10" x14ac:dyDescent="0.25">
      <c r="B1" s="4" t="s">
        <v>10</v>
      </c>
      <c r="C1" s="4" t="s">
        <v>4</v>
      </c>
      <c r="D1" s="4" t="s">
        <v>11</v>
      </c>
      <c r="E1" s="4" t="s">
        <v>5</v>
      </c>
      <c r="F1" s="4" t="s">
        <v>6</v>
      </c>
      <c r="G1" s="4" t="s">
        <v>7</v>
      </c>
      <c r="H1" s="4" t="s">
        <v>17</v>
      </c>
      <c r="I1" s="4" t="s">
        <v>8</v>
      </c>
      <c r="J1" s="4" t="s">
        <v>9</v>
      </c>
    </row>
    <row r="2" spans="1:10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0</v>
      </c>
      <c r="G2">
        <v>45</v>
      </c>
      <c r="H2">
        <v>45</v>
      </c>
      <c r="I2">
        <f>G2-H2</f>
        <v>0</v>
      </c>
      <c r="J2" s="3">
        <f>(H2/G2)*100%</f>
        <v>1</v>
      </c>
    </row>
    <row r="3" spans="1:10" x14ac:dyDescent="0.25">
      <c r="A3">
        <v>2</v>
      </c>
      <c r="B3" t="s">
        <v>18</v>
      </c>
      <c r="C3" t="s">
        <v>19</v>
      </c>
      <c r="D3" t="s">
        <v>26</v>
      </c>
      <c r="E3" t="s">
        <v>20</v>
      </c>
      <c r="F3" t="s">
        <v>2</v>
      </c>
      <c r="G3">
        <v>60</v>
      </c>
      <c r="H3">
        <v>60</v>
      </c>
      <c r="I3">
        <f t="shared" ref="I3:I4" si="0">G3-H3</f>
        <v>0</v>
      </c>
      <c r="J3" s="3">
        <f t="shared" ref="J3:J8" si="1">(H3/G3)*100%</f>
        <v>1</v>
      </c>
    </row>
    <row r="4" spans="1:10" x14ac:dyDescent="0.25">
      <c r="A4">
        <v>3</v>
      </c>
      <c r="B4" t="s">
        <v>12</v>
      </c>
      <c r="C4" t="s">
        <v>21</v>
      </c>
      <c r="D4" t="s">
        <v>22</v>
      </c>
      <c r="E4" t="s">
        <v>23</v>
      </c>
      <c r="F4" t="s">
        <v>0</v>
      </c>
      <c r="G4">
        <v>15</v>
      </c>
      <c r="H4">
        <v>0</v>
      </c>
      <c r="I4">
        <f t="shared" si="0"/>
        <v>15</v>
      </c>
      <c r="J4" s="3">
        <f t="shared" si="1"/>
        <v>0</v>
      </c>
    </row>
    <row r="5" spans="1:10" x14ac:dyDescent="0.25">
      <c r="A5">
        <v>4</v>
      </c>
      <c r="B5" t="s">
        <v>12</v>
      </c>
      <c r="C5" t="s">
        <v>21</v>
      </c>
      <c r="D5" t="s">
        <v>22</v>
      </c>
      <c r="E5" t="s">
        <v>16</v>
      </c>
      <c r="F5" t="s">
        <v>0</v>
      </c>
      <c r="G5">
        <v>15</v>
      </c>
      <c r="H5">
        <v>0</v>
      </c>
      <c r="I5">
        <f t="shared" ref="I5:I6" si="2">G5-H5</f>
        <v>15</v>
      </c>
      <c r="J5" s="3">
        <f t="shared" ref="J5:J6" si="3">(H5/G5)*100%</f>
        <v>0</v>
      </c>
    </row>
    <row r="6" spans="1:10" x14ac:dyDescent="0.25">
      <c r="A6">
        <v>5</v>
      </c>
      <c r="B6" t="s">
        <v>12</v>
      </c>
      <c r="C6" t="s">
        <v>21</v>
      </c>
      <c r="D6" t="s">
        <v>22</v>
      </c>
      <c r="E6" t="s">
        <v>20</v>
      </c>
      <c r="F6" t="s">
        <v>0</v>
      </c>
      <c r="G6">
        <v>10</v>
      </c>
      <c r="H6">
        <v>0</v>
      </c>
      <c r="I6">
        <f t="shared" si="2"/>
        <v>10</v>
      </c>
      <c r="J6" s="3">
        <f t="shared" si="3"/>
        <v>0</v>
      </c>
    </row>
    <row r="7" spans="1:10" x14ac:dyDescent="0.25">
      <c r="A7">
        <v>6</v>
      </c>
      <c r="B7" t="s">
        <v>12</v>
      </c>
      <c r="C7" t="s">
        <v>24</v>
      </c>
      <c r="D7" t="s">
        <v>25</v>
      </c>
      <c r="E7" t="s">
        <v>16</v>
      </c>
      <c r="F7" t="s">
        <v>2</v>
      </c>
      <c r="G7">
        <v>90</v>
      </c>
      <c r="H7">
        <v>90</v>
      </c>
      <c r="I7">
        <f t="shared" ref="I7:I31" ca="1" si="4">H7-I7</f>
        <v>0</v>
      </c>
      <c r="J7" s="3">
        <f t="shared" si="1"/>
        <v>1</v>
      </c>
    </row>
    <row r="8" spans="1:10" x14ac:dyDescent="0.25">
      <c r="A8">
        <v>7</v>
      </c>
      <c r="B8" t="s">
        <v>12</v>
      </c>
      <c r="C8" t="s">
        <v>28</v>
      </c>
      <c r="D8" t="s">
        <v>27</v>
      </c>
      <c r="E8" t="s">
        <v>23</v>
      </c>
      <c r="F8" t="s">
        <v>0</v>
      </c>
      <c r="G8">
        <v>15</v>
      </c>
      <c r="I8">
        <f t="shared" ca="1" si="4"/>
        <v>0</v>
      </c>
      <c r="J8" s="3">
        <f t="shared" si="1"/>
        <v>0</v>
      </c>
    </row>
    <row r="9" spans="1:10" x14ac:dyDescent="0.25">
      <c r="A9">
        <v>8</v>
      </c>
      <c r="B9" t="s">
        <v>12</v>
      </c>
      <c r="C9" t="s">
        <v>28</v>
      </c>
      <c r="D9" t="s">
        <v>27</v>
      </c>
      <c r="E9" t="s">
        <v>16</v>
      </c>
      <c r="F9" t="s">
        <v>0</v>
      </c>
      <c r="G9">
        <v>15</v>
      </c>
      <c r="I9">
        <f t="shared" ca="1" si="4"/>
        <v>0</v>
      </c>
      <c r="J9" s="3">
        <f t="shared" ref="J9:J11" si="5">(H9/G9)*100%</f>
        <v>0</v>
      </c>
    </row>
    <row r="10" spans="1:10" x14ac:dyDescent="0.25">
      <c r="A10">
        <v>9</v>
      </c>
      <c r="B10" t="s">
        <v>12</v>
      </c>
      <c r="C10" t="s">
        <v>28</v>
      </c>
      <c r="D10" t="s">
        <v>27</v>
      </c>
      <c r="E10" t="s">
        <v>20</v>
      </c>
      <c r="F10" t="s">
        <v>0</v>
      </c>
      <c r="G10">
        <v>20</v>
      </c>
      <c r="I10">
        <f t="shared" ca="1" si="4"/>
        <v>0</v>
      </c>
      <c r="J10" s="3">
        <f t="shared" si="5"/>
        <v>0</v>
      </c>
    </row>
    <row r="11" spans="1:10" x14ac:dyDescent="0.25">
      <c r="A11">
        <v>10</v>
      </c>
      <c r="B11" t="s">
        <v>12</v>
      </c>
      <c r="C11" t="s">
        <v>29</v>
      </c>
      <c r="D11" t="s">
        <v>30</v>
      </c>
      <c r="E11" t="s">
        <v>23</v>
      </c>
      <c r="F11" t="s">
        <v>0</v>
      </c>
      <c r="G11">
        <v>15</v>
      </c>
      <c r="I11">
        <f t="shared" ca="1" si="4"/>
        <v>0</v>
      </c>
      <c r="J11" s="3">
        <f t="shared" si="5"/>
        <v>0</v>
      </c>
    </row>
    <row r="12" spans="1:10" x14ac:dyDescent="0.25">
      <c r="A12">
        <v>11</v>
      </c>
      <c r="B12" t="s">
        <v>12</v>
      </c>
      <c r="C12" t="s">
        <v>29</v>
      </c>
      <c r="D12" t="s">
        <v>30</v>
      </c>
      <c r="E12" t="s">
        <v>16</v>
      </c>
      <c r="F12" t="s">
        <v>0</v>
      </c>
      <c r="G12">
        <v>15</v>
      </c>
      <c r="I12">
        <f t="shared" ca="1" si="4"/>
        <v>0</v>
      </c>
      <c r="J12" s="3">
        <f t="shared" ref="J12:J14" si="6">(H12/G12)*100%</f>
        <v>0</v>
      </c>
    </row>
    <row r="13" spans="1:10" x14ac:dyDescent="0.25">
      <c r="A13">
        <v>12</v>
      </c>
      <c r="B13" t="s">
        <v>12</v>
      </c>
      <c r="C13" t="s">
        <v>29</v>
      </c>
      <c r="D13" t="s">
        <v>30</v>
      </c>
      <c r="E13" t="s">
        <v>20</v>
      </c>
      <c r="F13" t="s">
        <v>0</v>
      </c>
      <c r="G13">
        <v>20</v>
      </c>
      <c r="I13">
        <f t="shared" ca="1" si="4"/>
        <v>0</v>
      </c>
      <c r="J13" s="3">
        <f t="shared" si="6"/>
        <v>0</v>
      </c>
    </row>
    <row r="14" spans="1:10" x14ac:dyDescent="0.25">
      <c r="A14">
        <v>13</v>
      </c>
      <c r="B14" t="s">
        <v>12</v>
      </c>
      <c r="C14" t="s">
        <v>31</v>
      </c>
      <c r="D14" t="s">
        <v>32</v>
      </c>
      <c r="E14" t="s">
        <v>23</v>
      </c>
      <c r="F14" t="s">
        <v>0</v>
      </c>
      <c r="G14">
        <v>15</v>
      </c>
      <c r="I14">
        <f t="shared" ca="1" si="4"/>
        <v>0</v>
      </c>
      <c r="J14" s="3">
        <f t="shared" si="6"/>
        <v>0</v>
      </c>
    </row>
    <row r="15" spans="1:10" x14ac:dyDescent="0.25">
      <c r="A15">
        <v>14</v>
      </c>
      <c r="B15" t="s">
        <v>12</v>
      </c>
      <c r="C15" t="s">
        <v>31</v>
      </c>
      <c r="D15" t="s">
        <v>32</v>
      </c>
      <c r="E15" t="s">
        <v>16</v>
      </c>
      <c r="F15" t="s">
        <v>0</v>
      </c>
      <c r="G15">
        <v>20</v>
      </c>
      <c r="I15">
        <f t="shared" ca="1" si="4"/>
        <v>0</v>
      </c>
      <c r="J15" s="3">
        <f t="shared" ref="J15:J17" si="7">(H15/G15)*100%</f>
        <v>0</v>
      </c>
    </row>
    <row r="16" spans="1:10" x14ac:dyDescent="0.25">
      <c r="A16">
        <v>15</v>
      </c>
      <c r="B16" t="s">
        <v>12</v>
      </c>
      <c r="C16" t="s">
        <v>31</v>
      </c>
      <c r="D16" t="s">
        <v>32</v>
      </c>
      <c r="E16" t="s">
        <v>20</v>
      </c>
      <c r="F16" t="s">
        <v>0</v>
      </c>
      <c r="G16">
        <v>20</v>
      </c>
      <c r="I16">
        <f t="shared" ca="1" si="4"/>
        <v>0</v>
      </c>
      <c r="J16" s="3">
        <f t="shared" si="7"/>
        <v>0</v>
      </c>
    </row>
    <row r="17" spans="1:10" x14ac:dyDescent="0.25">
      <c r="A17">
        <v>16</v>
      </c>
      <c r="B17" t="s">
        <v>12</v>
      </c>
      <c r="C17" t="s">
        <v>33</v>
      </c>
      <c r="D17" t="s">
        <v>34</v>
      </c>
      <c r="E17" t="s">
        <v>23</v>
      </c>
      <c r="F17" t="s">
        <v>2</v>
      </c>
      <c r="G17">
        <v>15</v>
      </c>
      <c r="I17">
        <f t="shared" ca="1" si="4"/>
        <v>0</v>
      </c>
      <c r="J17" s="3">
        <f t="shared" si="7"/>
        <v>0</v>
      </c>
    </row>
    <row r="18" spans="1:10" x14ac:dyDescent="0.25">
      <c r="A18">
        <v>17</v>
      </c>
      <c r="B18" t="s">
        <v>12</v>
      </c>
      <c r="C18" t="s">
        <v>33</v>
      </c>
      <c r="D18" t="s">
        <v>34</v>
      </c>
      <c r="E18" t="s">
        <v>16</v>
      </c>
      <c r="F18" t="s">
        <v>2</v>
      </c>
      <c r="G18">
        <v>20</v>
      </c>
      <c r="I18">
        <f t="shared" ca="1" si="4"/>
        <v>0</v>
      </c>
      <c r="J18" s="3">
        <f t="shared" ref="J18:J20" si="8">(H18/G18)*100%</f>
        <v>0</v>
      </c>
    </row>
    <row r="19" spans="1:10" x14ac:dyDescent="0.25">
      <c r="A19">
        <v>18</v>
      </c>
      <c r="B19" t="s">
        <v>12</v>
      </c>
      <c r="C19" t="s">
        <v>33</v>
      </c>
      <c r="D19" t="s">
        <v>34</v>
      </c>
      <c r="E19" t="s">
        <v>20</v>
      </c>
      <c r="F19" t="s">
        <v>2</v>
      </c>
      <c r="G19">
        <v>20</v>
      </c>
      <c r="I19">
        <f t="shared" ca="1" si="4"/>
        <v>0</v>
      </c>
      <c r="J19" s="3">
        <f t="shared" si="8"/>
        <v>0</v>
      </c>
    </row>
    <row r="20" spans="1:10" x14ac:dyDescent="0.25">
      <c r="A20">
        <v>19</v>
      </c>
      <c r="B20" t="s">
        <v>35</v>
      </c>
      <c r="C20" t="s">
        <v>36</v>
      </c>
      <c r="D20" t="s">
        <v>37</v>
      </c>
      <c r="E20" t="s">
        <v>23</v>
      </c>
      <c r="F20" t="s">
        <v>2</v>
      </c>
      <c r="G20">
        <v>15</v>
      </c>
      <c r="I20">
        <f t="shared" ca="1" si="4"/>
        <v>0</v>
      </c>
      <c r="J20" s="3">
        <f t="shared" si="8"/>
        <v>0</v>
      </c>
    </row>
    <row r="21" spans="1:10" x14ac:dyDescent="0.25">
      <c r="A21">
        <v>20</v>
      </c>
      <c r="B21" t="s">
        <v>35</v>
      </c>
      <c r="C21" t="s">
        <v>36</v>
      </c>
      <c r="D21" t="s">
        <v>37</v>
      </c>
      <c r="E21" t="s">
        <v>16</v>
      </c>
      <c r="F21" t="s">
        <v>0</v>
      </c>
      <c r="G21">
        <v>20</v>
      </c>
      <c r="I21">
        <f t="shared" ca="1" si="4"/>
        <v>0</v>
      </c>
      <c r="J21" s="3">
        <f t="shared" ref="J21:J23" si="9">(H21/G21)*100%</f>
        <v>0</v>
      </c>
    </row>
    <row r="22" spans="1:10" x14ac:dyDescent="0.25">
      <c r="A22">
        <v>21</v>
      </c>
      <c r="B22" t="s">
        <v>35</v>
      </c>
      <c r="C22" t="s">
        <v>36</v>
      </c>
      <c r="D22" t="s">
        <v>37</v>
      </c>
      <c r="E22" t="s">
        <v>20</v>
      </c>
      <c r="F22" t="s">
        <v>2</v>
      </c>
      <c r="G22">
        <v>20</v>
      </c>
      <c r="I22">
        <f t="shared" ca="1" si="4"/>
        <v>0</v>
      </c>
      <c r="J22" s="3">
        <f t="shared" si="9"/>
        <v>0</v>
      </c>
    </row>
    <row r="23" spans="1:10" x14ac:dyDescent="0.25">
      <c r="A23">
        <v>22</v>
      </c>
      <c r="B23" t="s">
        <v>35</v>
      </c>
      <c r="C23" t="s">
        <v>38</v>
      </c>
      <c r="D23" t="s">
        <v>39</v>
      </c>
      <c r="E23" t="s">
        <v>23</v>
      </c>
      <c r="F23" t="s">
        <v>2</v>
      </c>
      <c r="G23">
        <v>10</v>
      </c>
      <c r="I23">
        <f t="shared" ca="1" si="4"/>
        <v>0</v>
      </c>
      <c r="J23" s="3">
        <f t="shared" si="9"/>
        <v>0</v>
      </c>
    </row>
    <row r="24" spans="1:10" x14ac:dyDescent="0.25">
      <c r="A24">
        <v>23</v>
      </c>
      <c r="B24" t="s">
        <v>35</v>
      </c>
      <c r="C24" t="s">
        <v>38</v>
      </c>
      <c r="D24" t="s">
        <v>39</v>
      </c>
      <c r="E24" t="s">
        <v>16</v>
      </c>
      <c r="F24" t="s">
        <v>2</v>
      </c>
      <c r="G24">
        <v>10</v>
      </c>
      <c r="I24">
        <f t="shared" ca="1" si="4"/>
        <v>0</v>
      </c>
      <c r="J24" s="3">
        <f t="shared" ref="J24:J26" si="10">(H24/G24)*100%</f>
        <v>0</v>
      </c>
    </row>
    <row r="25" spans="1:10" x14ac:dyDescent="0.25">
      <c r="A25">
        <v>24</v>
      </c>
      <c r="B25" t="s">
        <v>35</v>
      </c>
      <c r="C25" t="s">
        <v>38</v>
      </c>
      <c r="D25" t="s">
        <v>39</v>
      </c>
      <c r="E25" t="s">
        <v>20</v>
      </c>
      <c r="F25" t="s">
        <v>2</v>
      </c>
      <c r="G25">
        <v>10</v>
      </c>
      <c r="I25">
        <f t="shared" ca="1" si="4"/>
        <v>0</v>
      </c>
      <c r="J25" s="3">
        <f t="shared" si="10"/>
        <v>0</v>
      </c>
    </row>
    <row r="26" spans="1:10" x14ac:dyDescent="0.25">
      <c r="A26">
        <v>25</v>
      </c>
      <c r="B26" t="s">
        <v>35</v>
      </c>
      <c r="C26" t="s">
        <v>40</v>
      </c>
      <c r="D26" t="s">
        <v>41</v>
      </c>
      <c r="E26" t="s">
        <v>23</v>
      </c>
      <c r="F26" t="s">
        <v>0</v>
      </c>
      <c r="G26">
        <v>20</v>
      </c>
      <c r="I26">
        <f t="shared" ca="1" si="4"/>
        <v>0</v>
      </c>
      <c r="J26" s="3">
        <f t="shared" si="10"/>
        <v>0</v>
      </c>
    </row>
    <row r="27" spans="1:10" x14ac:dyDescent="0.25">
      <c r="A27">
        <v>26</v>
      </c>
      <c r="B27" t="s">
        <v>35</v>
      </c>
      <c r="C27" t="s">
        <v>40</v>
      </c>
      <c r="D27" t="s">
        <v>41</v>
      </c>
      <c r="E27" t="s">
        <v>16</v>
      </c>
      <c r="F27" t="s">
        <v>0</v>
      </c>
      <c r="G27">
        <v>20</v>
      </c>
      <c r="I27">
        <f t="shared" ca="1" si="4"/>
        <v>0</v>
      </c>
      <c r="J27" s="3">
        <f t="shared" ref="J27:J29" si="11">(H27/G27)*100%</f>
        <v>0</v>
      </c>
    </row>
    <row r="28" spans="1:10" x14ac:dyDescent="0.25">
      <c r="A28">
        <v>27</v>
      </c>
      <c r="B28" t="s">
        <v>35</v>
      </c>
      <c r="C28" t="s">
        <v>40</v>
      </c>
      <c r="D28" t="s">
        <v>41</v>
      </c>
      <c r="E28" t="s">
        <v>20</v>
      </c>
      <c r="F28" t="s">
        <v>0</v>
      </c>
      <c r="G28">
        <v>20</v>
      </c>
      <c r="I28">
        <f t="shared" ca="1" si="4"/>
        <v>0</v>
      </c>
      <c r="J28" s="3">
        <f t="shared" si="11"/>
        <v>0</v>
      </c>
    </row>
    <row r="29" spans="1:10" x14ac:dyDescent="0.25">
      <c r="A29">
        <v>28</v>
      </c>
      <c r="B29" t="s">
        <v>35</v>
      </c>
      <c r="C29" t="s">
        <v>42</v>
      </c>
      <c r="D29" t="s">
        <v>43</v>
      </c>
      <c r="E29" t="s">
        <v>23</v>
      </c>
      <c r="F29" t="s">
        <v>0</v>
      </c>
      <c r="G29">
        <v>20</v>
      </c>
      <c r="I29">
        <f t="shared" ca="1" si="4"/>
        <v>0</v>
      </c>
      <c r="J29" s="3">
        <f t="shared" si="11"/>
        <v>0</v>
      </c>
    </row>
    <row r="30" spans="1:10" x14ac:dyDescent="0.25">
      <c r="A30">
        <v>29</v>
      </c>
      <c r="B30" t="s">
        <v>35</v>
      </c>
      <c r="C30" t="s">
        <v>42</v>
      </c>
      <c r="D30" t="s">
        <v>43</v>
      </c>
      <c r="E30" t="s">
        <v>16</v>
      </c>
      <c r="F30" t="s">
        <v>0</v>
      </c>
      <c r="G30">
        <v>20</v>
      </c>
      <c r="I30">
        <f t="shared" ca="1" si="4"/>
        <v>0</v>
      </c>
      <c r="J30" s="3">
        <f t="shared" ref="J30:J32" si="12">(H30/G30)*100%</f>
        <v>0</v>
      </c>
    </row>
    <row r="31" spans="1:10" x14ac:dyDescent="0.25">
      <c r="A31">
        <v>30</v>
      </c>
      <c r="B31" t="s">
        <v>35</v>
      </c>
      <c r="C31" t="s">
        <v>42</v>
      </c>
      <c r="D31" t="s">
        <v>43</v>
      </c>
      <c r="E31" t="s">
        <v>20</v>
      </c>
      <c r="F31" t="s">
        <v>0</v>
      </c>
      <c r="G31">
        <v>20</v>
      </c>
      <c r="I31">
        <f t="shared" ca="1" si="4"/>
        <v>0</v>
      </c>
      <c r="J31" s="3">
        <f t="shared" si="12"/>
        <v>0</v>
      </c>
    </row>
    <row r="32" spans="1:10" x14ac:dyDescent="0.25">
      <c r="A32">
        <v>31</v>
      </c>
      <c r="B32" t="s">
        <v>35</v>
      </c>
      <c r="C32" t="s">
        <v>44</v>
      </c>
      <c r="D32" t="s">
        <v>45</v>
      </c>
      <c r="E32" t="s">
        <v>20</v>
      </c>
      <c r="F32" t="s">
        <v>0</v>
      </c>
      <c r="G32">
        <v>45</v>
      </c>
      <c r="J32" s="3">
        <f t="shared" si="12"/>
        <v>0</v>
      </c>
    </row>
    <row r="33" spans="1:10" x14ac:dyDescent="0.25">
      <c r="A33">
        <v>32</v>
      </c>
      <c r="B33" t="s">
        <v>35</v>
      </c>
      <c r="C33" t="s">
        <v>47</v>
      </c>
      <c r="D33" t="s">
        <v>46</v>
      </c>
      <c r="E33" t="s">
        <v>16</v>
      </c>
      <c r="F33" t="s">
        <v>2</v>
      </c>
      <c r="G33">
        <v>40</v>
      </c>
      <c r="J33" s="3">
        <f t="shared" ref="J33:J36" si="13">(H33/G33)*100%</f>
        <v>0</v>
      </c>
    </row>
    <row r="34" spans="1:10" x14ac:dyDescent="0.25">
      <c r="A34">
        <v>33</v>
      </c>
      <c r="B34" t="s">
        <v>48</v>
      </c>
      <c r="C34" t="s">
        <v>49</v>
      </c>
      <c r="D34" t="s">
        <v>50</v>
      </c>
      <c r="E34" t="s">
        <v>20</v>
      </c>
      <c r="F34" t="s">
        <v>2</v>
      </c>
      <c r="G34">
        <v>40</v>
      </c>
      <c r="J34" s="3">
        <f t="shared" si="13"/>
        <v>0</v>
      </c>
    </row>
    <row r="35" spans="1:10" x14ac:dyDescent="0.25">
      <c r="A35">
        <v>34</v>
      </c>
      <c r="B35" t="s">
        <v>51</v>
      </c>
      <c r="C35" t="s">
        <v>52</v>
      </c>
      <c r="D35" t="s">
        <v>53</v>
      </c>
      <c r="E35" t="s">
        <v>16</v>
      </c>
      <c r="F35" t="s">
        <v>2</v>
      </c>
      <c r="G35">
        <v>60</v>
      </c>
      <c r="J35" s="3">
        <f t="shared" si="13"/>
        <v>0</v>
      </c>
    </row>
    <row r="36" spans="1:10" x14ac:dyDescent="0.25">
      <c r="A36">
        <v>35</v>
      </c>
      <c r="B36" t="s">
        <v>64</v>
      </c>
      <c r="D36" t="s">
        <v>65</v>
      </c>
      <c r="E36" t="s">
        <v>20</v>
      </c>
      <c r="F36" t="s">
        <v>2</v>
      </c>
      <c r="G36">
        <v>60</v>
      </c>
      <c r="J36" s="3">
        <f t="shared" si="13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238CA-D21D-47B1-9D53-0DF831C0F9F7}">
  <dimension ref="A3:D11"/>
  <sheetViews>
    <sheetView workbookViewId="0">
      <selection activeCell="C5" sqref="C5"/>
    </sheetView>
  </sheetViews>
  <sheetFormatPr baseColWidth="10" defaultRowHeight="15" x14ac:dyDescent="0.25"/>
  <cols>
    <col min="1" max="1" width="21" bestFit="1" customWidth="1"/>
    <col min="2" max="2" width="20.42578125" bestFit="1" customWidth="1"/>
    <col min="3" max="3" width="22.42578125" bestFit="1" customWidth="1"/>
    <col min="4" max="4" width="22.140625" bestFit="1" customWidth="1"/>
  </cols>
  <sheetData>
    <row r="3" spans="1:4" x14ac:dyDescent="0.25">
      <c r="A3" s="5" t="s">
        <v>54</v>
      </c>
      <c r="B3" t="s">
        <v>56</v>
      </c>
      <c r="C3" t="s">
        <v>57</v>
      </c>
      <c r="D3" t="s">
        <v>58</v>
      </c>
    </row>
    <row r="4" spans="1:4" x14ac:dyDescent="0.25">
      <c r="A4" s="6" t="s">
        <v>0</v>
      </c>
      <c r="B4" s="7">
        <v>425</v>
      </c>
      <c r="C4" s="7">
        <v>45</v>
      </c>
      <c r="D4" s="7">
        <v>40</v>
      </c>
    </row>
    <row r="5" spans="1:4" x14ac:dyDescent="0.25">
      <c r="A5" s="6" t="s">
        <v>2</v>
      </c>
      <c r="B5" s="7">
        <v>410</v>
      </c>
      <c r="C5" s="7">
        <v>150</v>
      </c>
      <c r="D5" s="7">
        <v>0</v>
      </c>
    </row>
    <row r="6" spans="1:4" x14ac:dyDescent="0.25">
      <c r="A6" s="6" t="s">
        <v>55</v>
      </c>
      <c r="B6" s="7">
        <v>835</v>
      </c>
      <c r="C6" s="7">
        <v>195</v>
      </c>
      <c r="D6" s="7">
        <v>40</v>
      </c>
    </row>
    <row r="11" spans="1:4" x14ac:dyDescent="0.25">
      <c r="A11" t="s">
        <v>9</v>
      </c>
      <c r="B11" s="3">
        <f>(SUM(C4:C5)/SUM(B4:B5))*100%</f>
        <v>0.23353293413173654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595C6-E7CB-46FF-A8CC-0DBDB0F9C009}">
  <dimension ref="A1:E3"/>
  <sheetViews>
    <sheetView tabSelected="1" workbookViewId="0">
      <selection activeCell="G17" sqref="G17"/>
    </sheetView>
  </sheetViews>
  <sheetFormatPr baseColWidth="10" defaultRowHeight="15" x14ac:dyDescent="0.25"/>
  <cols>
    <col min="1" max="1" width="27.28515625" customWidth="1"/>
    <col min="2" max="2" width="28" customWidth="1"/>
    <col min="3" max="3" width="23.140625" customWidth="1"/>
    <col min="4" max="4" width="15" customWidth="1"/>
    <col min="5" max="5" width="20.7109375" customWidth="1"/>
  </cols>
  <sheetData>
    <row r="1" spans="1:5" x14ac:dyDescent="0.25">
      <c r="A1" t="s">
        <v>59</v>
      </c>
      <c r="B1" t="s">
        <v>60</v>
      </c>
      <c r="C1" t="s">
        <v>61</v>
      </c>
      <c r="D1" t="s">
        <v>62</v>
      </c>
      <c r="E1" t="s">
        <v>63</v>
      </c>
    </row>
    <row r="2" spans="1:5" x14ac:dyDescent="0.25">
      <c r="A2">
        <f>SUM('liste des tâches'!G:G)</f>
        <v>895</v>
      </c>
      <c r="B2">
        <f>SUM('liste des tâches'!H:H)</f>
        <v>195</v>
      </c>
      <c r="C2">
        <f>A2-B2</f>
        <v>700</v>
      </c>
      <c r="D2" s="3">
        <f>(B2/A2)*100%</f>
        <v>0.21787709497206703</v>
      </c>
      <c r="E2" s="3">
        <f>(((B2+C2)-A2)/A2)*100%</f>
        <v>0</v>
      </c>
    </row>
    <row r="3" spans="1:5" x14ac:dyDescent="0.25">
      <c r="D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Groupe</vt:lpstr>
      <vt:lpstr>liste des tâches</vt:lpstr>
      <vt:lpstr>Recap</vt:lpstr>
      <vt:lpstr>Avancement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Fenitra Sarobidy</dc:creator>
  <cp:lastModifiedBy>Fenitra Sarobidy</cp:lastModifiedBy>
  <dcterms:created xsi:type="dcterms:W3CDTF">2026-03-30T12:43:22Z</dcterms:created>
  <dcterms:modified xsi:type="dcterms:W3CDTF">2026-03-30T14:12:54Z</dcterms:modified>
</cp:coreProperties>
</file>